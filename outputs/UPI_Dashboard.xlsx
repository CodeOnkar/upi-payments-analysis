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8"/>
    </font>
    <font>
      <color rgb="006B7280"/>
      <sz val="10"/>
    </font>
    <font>
      <b val="1"/>
      <color rgb="001F2937"/>
      <sz val="14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3CD"/>
      </patternFill>
    </fill>
    <fill>
      <patternFill patternType="solid">
        <fgColor rgb="00EFF6FF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4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Transaction Volume (Mn)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'Data'!$A$2:$A$70</f>
            </numRef>
          </cat>
          <val>
            <numRef>
              <f>'Data'!$C$2:$C$70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(Mn)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Transaction Value (Cr INR)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'Data'!$A$2:$A$70</f>
            </numRef>
          </cat>
          <val>
            <numRef>
              <f>'Data'!$D$2:$D$70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(Cr 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YoY Growth % (2018 onward)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'Data'!G22</f>
            </strRef>
          </tx>
          <spPr>
            <a:ln>
              <a:prstDash val="solid"/>
            </a:ln>
          </spPr>
          <cat>
            <numRef>
              <f>'Data'!$A$23:$A$70</f>
            </numRef>
          </cat>
          <val>
            <numRef>
              <f>'Data'!$G$23:$G$70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YoY Growth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Annual Value: Actual (2016-2021) vs Linear Forecast (2022-2023)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'Yearly'!C1</f>
            </strRef>
          </tx>
          <spPr>
            <a:ln>
              <a:prstDash val="solid"/>
            </a:ln>
          </spPr>
          <cat>
            <numRef>
              <f>'Yearly'!$A$2:$A$9</f>
            </numRef>
          </cat>
          <val>
            <numRef>
              <f>'Yearly'!$C$2:$C$9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Value (Cr 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2">
      <c r="B2" s="1" t="inlineStr">
        <is>
          <t>UPI Payments India -- Dashboard (2016-2021)</t>
        </is>
      </c>
    </row>
    <row r="4">
      <c r="B4" s="2" t="inlineStr">
        <is>
          <t>Total Transactions (Volume)</t>
        </is>
      </c>
      <c r="C4" s="3" t="n"/>
      <c r="E4" s="2" t="inlineStr">
        <is>
          <t>Total Transaction Value</t>
        </is>
      </c>
      <c r="F4" s="3" t="n"/>
      <c r="H4" s="2" t="inlineStr">
        <is>
          <t>Peak MoM Growth Month</t>
        </is>
      </c>
      <c r="I4" s="3" t="n"/>
      <c r="K4" s="2" t="inlineStr">
        <is>
          <t>Banks Live on UPI (Dec 2021)</t>
        </is>
      </c>
      <c r="L4" s="3" t="n"/>
    </row>
    <row r="5">
      <c r="B5" s="4" t="n"/>
      <c r="C5" s="5" t="n"/>
      <c r="E5" s="4" t="n"/>
      <c r="F5" s="5" t="n"/>
      <c r="H5" s="4" t="n"/>
      <c r="I5" s="5" t="n"/>
      <c r="K5" s="4" t="n"/>
      <c r="L5" s="5" t="n"/>
    </row>
    <row r="6">
      <c r="B6" s="6" t="inlineStr">
        <is>
          <t>72,591 Mn</t>
        </is>
      </c>
      <c r="C6" s="3" t="n"/>
      <c r="E6" s="6" t="inlineStr">
        <is>
          <t>Rs 13,027,293 Cr</t>
        </is>
      </c>
      <c r="F6" s="3" t="n"/>
      <c r="H6" s="6" t="inlineStr">
        <is>
          <t>May 2020 (+44.5%)</t>
        </is>
      </c>
      <c r="I6" s="3" t="n"/>
      <c r="K6" s="6" t="inlineStr">
        <is>
          <t>282</t>
        </is>
      </c>
      <c r="L6" s="3" t="n"/>
    </row>
    <row r="7">
      <c r="B7" s="4" t="n"/>
      <c r="C7" s="5" t="n"/>
      <c r="E7" s="4" t="n"/>
      <c r="F7" s="5" t="n"/>
      <c r="H7" s="4" t="n"/>
      <c r="I7" s="5" t="n"/>
      <c r="K7" s="4" t="n"/>
      <c r="L7" s="5" t="n"/>
    </row>
  </sheetData>
  <mergeCells count="8">
    <mergeCell ref="E4:F5"/>
    <mergeCell ref="E6:F7"/>
    <mergeCell ref="H4:I5"/>
    <mergeCell ref="H6:I7"/>
    <mergeCell ref="K4:L5"/>
    <mergeCell ref="K6:L7"/>
    <mergeCell ref="B6:C7"/>
    <mergeCell ref="B4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6" customWidth="1" min="6" max="6"/>
    <col width="16" customWidth="1" min="7" max="7"/>
  </cols>
  <sheetData>
    <row r="1">
      <c r="A1" s="7" t="inlineStr">
        <is>
          <t>date</t>
        </is>
      </c>
      <c r="B1" s="7" t="inlineStr">
        <is>
          <t>banks_live</t>
        </is>
      </c>
      <c r="C1" s="7" t="inlineStr">
        <is>
          <t>volume_mn</t>
        </is>
      </c>
      <c r="D1" s="7" t="inlineStr">
        <is>
          <t>value_cr</t>
        </is>
      </c>
      <c r="E1" s="7" t="inlineStr">
        <is>
          <t>avg_ticket_size_inr</t>
        </is>
      </c>
      <c r="F1" s="7" t="inlineStr">
        <is>
          <t>mom_growth_pct</t>
        </is>
      </c>
      <c r="G1" s="7" t="inlineStr">
        <is>
          <t>yoy_growth_pct</t>
        </is>
      </c>
    </row>
    <row r="2">
      <c r="A2" s="8" t="inlineStr">
        <is>
          <t>2016-04-01</t>
        </is>
      </c>
      <c r="B2" s="8" t="n">
        <v>21</v>
      </c>
      <c r="C2" s="8" t="n">
        <v>0</v>
      </c>
      <c r="D2" s="8" t="n">
        <v>0</v>
      </c>
      <c r="E2" s="8" t="n">
        <v/>
      </c>
      <c r="F2" s="8" t="n">
        <v/>
      </c>
      <c r="G2" s="8" t="n">
        <v/>
      </c>
    </row>
    <row r="3">
      <c r="A3" s="8" t="inlineStr">
        <is>
          <t>2016-05-01</t>
        </is>
      </c>
      <c r="B3" s="8" t="n">
        <v>21</v>
      </c>
      <c r="C3" s="8" t="n">
        <v>0</v>
      </c>
      <c r="D3" s="8" t="n">
        <v>0</v>
      </c>
      <c r="E3" s="8" t="n">
        <v/>
      </c>
      <c r="F3" s="8" t="n">
        <v/>
      </c>
      <c r="G3" s="8" t="n">
        <v/>
      </c>
    </row>
    <row r="4">
      <c r="A4" s="8" t="inlineStr">
        <is>
          <t>2016-06-01</t>
        </is>
      </c>
      <c r="B4" s="8" t="n">
        <v>21</v>
      </c>
      <c r="C4" s="8" t="n">
        <v>0</v>
      </c>
      <c r="D4" s="8" t="n">
        <v>0</v>
      </c>
      <c r="E4" s="8" t="n">
        <v/>
      </c>
      <c r="F4" s="8" t="n">
        <v/>
      </c>
      <c r="G4" s="8" t="n">
        <v/>
      </c>
    </row>
    <row r="5">
      <c r="A5" s="8" t="inlineStr">
        <is>
          <t>2016-07-01</t>
        </is>
      </c>
      <c r="B5" s="8" t="n">
        <v>21</v>
      </c>
      <c r="C5" s="8" t="n">
        <v>0.09</v>
      </c>
      <c r="D5" s="8" t="n">
        <v>0.38</v>
      </c>
      <c r="E5" s="8" t="n">
        <v>42.22222222222222</v>
      </c>
      <c r="F5" s="8" t="n">
        <v/>
      </c>
      <c r="G5" s="8" t="n">
        <v/>
      </c>
    </row>
    <row r="6">
      <c r="A6" s="8" t="inlineStr">
        <is>
          <t>2016-08-01</t>
        </is>
      </c>
      <c r="B6" s="8" t="n">
        <v>21</v>
      </c>
      <c r="C6" s="8" t="n">
        <v>0.09</v>
      </c>
      <c r="D6" s="8" t="n">
        <v>3.09</v>
      </c>
      <c r="E6" s="8" t="n">
        <v>343.3333333333333</v>
      </c>
      <c r="F6" s="8" t="n">
        <v>713.1578947368421</v>
      </c>
      <c r="G6" s="8" t="n">
        <v/>
      </c>
    </row>
    <row r="7">
      <c r="A7" s="8" t="inlineStr">
        <is>
          <t>2016-09-01</t>
        </is>
      </c>
      <c r="B7" s="8" t="n">
        <v>25</v>
      </c>
      <c r="C7" s="8" t="n">
        <v>0.09</v>
      </c>
      <c r="D7" s="8" t="n">
        <v>32.64</v>
      </c>
      <c r="E7" s="8" t="n">
        <v>3626.666666666667</v>
      </c>
      <c r="F7" s="8" t="n">
        <v>956.3106796116506</v>
      </c>
      <c r="G7" s="8" t="n">
        <v/>
      </c>
    </row>
    <row r="8">
      <c r="A8" s="8" t="inlineStr">
        <is>
          <t>2016-10-01</t>
        </is>
      </c>
      <c r="B8" s="8" t="n">
        <v>26</v>
      </c>
      <c r="C8" s="8" t="n">
        <v>0.1</v>
      </c>
      <c r="D8" s="8" t="n">
        <v>48.57</v>
      </c>
      <c r="E8" s="8" t="n">
        <v>4857</v>
      </c>
      <c r="F8" s="8" t="n">
        <v>48.80514705882353</v>
      </c>
      <c r="G8" s="8" t="n">
        <v/>
      </c>
    </row>
    <row r="9">
      <c r="A9" s="8" t="inlineStr">
        <is>
          <t>2016-11-01</t>
        </is>
      </c>
      <c r="B9" s="8" t="n">
        <v>30</v>
      </c>
      <c r="C9" s="8" t="n">
        <v>0.29</v>
      </c>
      <c r="D9" s="8" t="n">
        <v>100.46</v>
      </c>
      <c r="E9" s="8" t="n">
        <v>3464.137931034482</v>
      </c>
      <c r="F9" s="8" t="n">
        <v>106.8354951616224</v>
      </c>
      <c r="G9" s="8" t="n">
        <v/>
      </c>
    </row>
    <row r="10">
      <c r="A10" s="8" t="inlineStr">
        <is>
          <t>2016-12-01</t>
        </is>
      </c>
      <c r="B10" s="8" t="n">
        <v>35</v>
      </c>
      <c r="C10" s="8" t="n">
        <v>1.99</v>
      </c>
      <c r="D10" s="8" t="n">
        <v>707.9299999999999</v>
      </c>
      <c r="E10" s="8" t="n">
        <v>3557.437185929648</v>
      </c>
      <c r="F10" s="8" t="n">
        <v>604.6884332072467</v>
      </c>
      <c r="G10" s="8" t="n">
        <v/>
      </c>
    </row>
    <row r="11">
      <c r="A11" s="8" t="inlineStr">
        <is>
          <t>2017-01-01</t>
        </is>
      </c>
      <c r="B11" s="8" t="n">
        <v>36</v>
      </c>
      <c r="C11" s="8" t="n">
        <v>4.46</v>
      </c>
      <c r="D11" s="8" t="n">
        <v>1696.22</v>
      </c>
      <c r="E11" s="8" t="n">
        <v>3803.183856502242</v>
      </c>
      <c r="F11" s="8" t="n">
        <v>139.6027855861456</v>
      </c>
      <c r="G11" s="8" t="n">
        <v/>
      </c>
    </row>
    <row r="12">
      <c r="A12" s="8" t="inlineStr">
        <is>
          <t>2017-02-01</t>
        </is>
      </c>
      <c r="B12" s="8" t="n">
        <v>44</v>
      </c>
      <c r="C12" s="8" t="n">
        <v>4.38</v>
      </c>
      <c r="D12" s="8" t="n">
        <v>1937.71</v>
      </c>
      <c r="E12" s="8" t="n">
        <v>4423.995433789954</v>
      </c>
      <c r="F12" s="8" t="n">
        <v>14.23695039558548</v>
      </c>
      <c r="G12" s="8" t="n">
        <v/>
      </c>
    </row>
    <row r="13">
      <c r="A13" s="8" t="inlineStr">
        <is>
          <t>2017-03-01</t>
        </is>
      </c>
      <c r="B13" s="8" t="n">
        <v>44</v>
      </c>
      <c r="C13" s="8" t="n">
        <v>6.37</v>
      </c>
      <c r="D13" s="8" t="n">
        <v>2425.14</v>
      </c>
      <c r="E13" s="8" t="n">
        <v>3807.12715855573</v>
      </c>
      <c r="F13" s="8" t="n">
        <v>25.15495094725216</v>
      </c>
      <c r="G13" s="8" t="n">
        <v/>
      </c>
    </row>
    <row r="14">
      <c r="A14" s="8" t="inlineStr">
        <is>
          <t>2017-04-01</t>
        </is>
      </c>
      <c r="B14" s="8" t="n">
        <v>48</v>
      </c>
      <c r="C14" s="8" t="n">
        <v>7.2</v>
      </c>
      <c r="D14" s="8" t="n">
        <v>2271.24</v>
      </c>
      <c r="E14" s="8" t="n">
        <v>3154.5</v>
      </c>
      <c r="F14" s="8" t="n">
        <v>-6.346025384101539</v>
      </c>
      <c r="G14" s="8" t="n">
        <v/>
      </c>
    </row>
    <row r="15">
      <c r="A15" s="8" t="inlineStr">
        <is>
          <t>2017-05-01</t>
        </is>
      </c>
      <c r="B15" s="8" t="n">
        <v>49</v>
      </c>
      <c r="C15" s="8" t="n">
        <v>9.359999999999999</v>
      </c>
      <c r="D15" s="8" t="n">
        <v>2797.07</v>
      </c>
      <c r="E15" s="8" t="n">
        <v>2988.322649572649</v>
      </c>
      <c r="F15" s="8" t="n">
        <v>23.15167045314455</v>
      </c>
      <c r="G15" s="8" t="n">
        <v/>
      </c>
    </row>
    <row r="16">
      <c r="A16" s="8" t="inlineStr">
        <is>
          <t>2017-06-01</t>
        </is>
      </c>
      <c r="B16" s="8" t="n">
        <v>52</v>
      </c>
      <c r="C16" s="8" t="n">
        <v>10.35</v>
      </c>
      <c r="D16" s="8" t="n">
        <v>3098.36</v>
      </c>
      <c r="E16" s="8" t="n">
        <v>2993.584541062802</v>
      </c>
      <c r="F16" s="8" t="n">
        <v>10.77162888308123</v>
      </c>
      <c r="G16" s="8" t="n">
        <v/>
      </c>
    </row>
    <row r="17">
      <c r="A17" s="8" t="inlineStr">
        <is>
          <t>2017-07-01</t>
        </is>
      </c>
      <c r="B17" s="8" t="n">
        <v>53</v>
      </c>
      <c r="C17" s="8" t="n">
        <v>11.63</v>
      </c>
      <c r="D17" s="8" t="n">
        <v>3411.35</v>
      </c>
      <c r="E17" s="8" t="n">
        <v>2933.23301805675</v>
      </c>
      <c r="F17" s="8" t="n">
        <v>10.10179578873984</v>
      </c>
      <c r="G17" s="8" t="n">
        <v>897623.6842105263</v>
      </c>
    </row>
    <row r="18">
      <c r="A18" s="8" t="inlineStr">
        <is>
          <t>2017-08-01</t>
        </is>
      </c>
      <c r="B18" s="8" t="n">
        <v>55</v>
      </c>
      <c r="C18" s="8" t="n">
        <v>16.8</v>
      </c>
      <c r="D18" s="8" t="n">
        <v>4156.62</v>
      </c>
      <c r="E18" s="8" t="n">
        <v>2474.178571428572</v>
      </c>
      <c r="F18" s="8" t="n">
        <v>21.84677620296951</v>
      </c>
      <c r="G18" s="8" t="n">
        <v>134418.4466019418</v>
      </c>
    </row>
    <row r="19">
      <c r="A19" s="8" t="inlineStr">
        <is>
          <t>2017-09-01</t>
        </is>
      </c>
      <c r="B19" s="8" t="n">
        <v>57</v>
      </c>
      <c r="C19" s="8" t="n">
        <v>30.98</v>
      </c>
      <c r="D19" s="8" t="n">
        <v>5325.81</v>
      </c>
      <c r="E19" s="8" t="n">
        <v>1719.11233053583</v>
      </c>
      <c r="F19" s="8" t="n">
        <v>28.1283831574693</v>
      </c>
      <c r="G19" s="8" t="n">
        <v>16216.81985294118</v>
      </c>
    </row>
    <row r="20">
      <c r="A20" s="8" t="inlineStr">
        <is>
          <t>2017-10-01</t>
        </is>
      </c>
      <c r="B20" s="8" t="n">
        <v>60</v>
      </c>
      <c r="C20" s="8" t="n">
        <v>76.95999999999999</v>
      </c>
      <c r="D20" s="8" t="n">
        <v>7057.78</v>
      </c>
      <c r="E20" s="8" t="n">
        <v>917.0712058212058</v>
      </c>
      <c r="F20" s="8" t="n">
        <v>32.52031146435941</v>
      </c>
      <c r="G20" s="8" t="n">
        <v>14431.15091620342</v>
      </c>
    </row>
    <row r="21">
      <c r="A21" s="8" t="inlineStr">
        <is>
          <t>2017-11-01</t>
        </is>
      </c>
      <c r="B21" s="8" t="n">
        <v>61</v>
      </c>
      <c r="C21" s="8" t="n">
        <v>105.02</v>
      </c>
      <c r="D21" s="8" t="n">
        <v>9669.33</v>
      </c>
      <c r="E21" s="8" t="n">
        <v>920.7131974861931</v>
      </c>
      <c r="F21" s="8" t="n">
        <v>37.00242852568372</v>
      </c>
      <c r="G21" s="8" t="n">
        <v>9525.054748158473</v>
      </c>
    </row>
    <row r="22">
      <c r="A22" s="8" t="inlineStr">
        <is>
          <t>2017-12-01</t>
        </is>
      </c>
      <c r="B22" s="8" t="n">
        <v>67</v>
      </c>
      <c r="C22" s="8" t="n">
        <v>145.64</v>
      </c>
      <c r="D22" s="8" t="n">
        <v>13174.24</v>
      </c>
      <c r="E22" s="8" t="n">
        <v>904.5756660258172</v>
      </c>
      <c r="F22" s="8" t="n">
        <v>36.2477027880939</v>
      </c>
      <c r="G22" s="8" t="n">
        <v>1760.952354046304</v>
      </c>
    </row>
    <row r="23">
      <c r="A23" s="8" t="inlineStr">
        <is>
          <t>2018-01-01</t>
        </is>
      </c>
      <c r="B23" s="8" t="n">
        <v>71</v>
      </c>
      <c r="C23" s="8" t="n">
        <v>151.83</v>
      </c>
      <c r="D23" s="8" t="n">
        <v>15571.2</v>
      </c>
      <c r="E23" s="8" t="n">
        <v>1025.568069551472</v>
      </c>
      <c r="F23" s="8" t="n">
        <v>18.19429431982416</v>
      </c>
      <c r="G23" s="8" t="n">
        <v>817.9941281201732</v>
      </c>
    </row>
    <row r="24">
      <c r="A24" s="8" t="inlineStr">
        <is>
          <t>2018-02-01</t>
        </is>
      </c>
      <c r="B24" s="8" t="n">
        <v>86</v>
      </c>
      <c r="C24" s="8" t="n">
        <v>171.4</v>
      </c>
      <c r="D24" s="8" t="n">
        <v>19126.2</v>
      </c>
      <c r="E24" s="8" t="n">
        <v>1115.880980163361</v>
      </c>
      <c r="F24" s="8" t="n">
        <v>22.83061035758323</v>
      </c>
      <c r="G24" s="8" t="n">
        <v>887.0517260064717</v>
      </c>
    </row>
    <row r="25">
      <c r="A25" s="8" t="inlineStr">
        <is>
          <t>2018-03-01</t>
        </is>
      </c>
      <c r="B25" s="8" t="n">
        <v>91</v>
      </c>
      <c r="C25" s="8" t="n">
        <v>178.05</v>
      </c>
      <c r="D25" s="8" t="n">
        <v>24172.6</v>
      </c>
      <c r="E25" s="8" t="n">
        <v>1357.629879247402</v>
      </c>
      <c r="F25" s="8" t="n">
        <v>26.38474971505054</v>
      </c>
      <c r="G25" s="8" t="n">
        <v>896.7507030521949</v>
      </c>
    </row>
    <row r="26">
      <c r="A26" s="8" t="inlineStr">
        <is>
          <t>2018-04-01</t>
        </is>
      </c>
      <c r="B26" s="8" t="n">
        <v>97</v>
      </c>
      <c r="C26" s="8" t="n">
        <v>190.08</v>
      </c>
      <c r="D26" s="8" t="n">
        <v>27021.85</v>
      </c>
      <c r="E26" s="8" t="n">
        <v>1421.604061447812</v>
      </c>
      <c r="F26" s="8" t="n">
        <v>11.78710606223576</v>
      </c>
      <c r="G26" s="8" t="n">
        <v>1089.739965833642</v>
      </c>
    </row>
    <row r="27">
      <c r="A27" s="8" t="inlineStr">
        <is>
          <t>2018-05-01</t>
        </is>
      </c>
      <c r="B27" s="8" t="n">
        <v>101</v>
      </c>
      <c r="C27" s="8" t="n">
        <v>189.48</v>
      </c>
      <c r="D27" s="8" t="n">
        <v>33288.51</v>
      </c>
      <c r="E27" s="8" t="n">
        <v>1756.835022165928</v>
      </c>
      <c r="F27" s="8" t="n">
        <v>23.19108425218852</v>
      </c>
      <c r="G27" s="8" t="n">
        <v>1090.120733481822</v>
      </c>
    </row>
    <row r="28">
      <c r="A28" s="8" t="inlineStr">
        <is>
          <t>2018-06-01</t>
        </is>
      </c>
      <c r="B28" s="8" t="n">
        <v>110</v>
      </c>
      <c r="C28" s="8" t="n">
        <v>246.37</v>
      </c>
      <c r="D28" s="8" t="n">
        <v>40834.03</v>
      </c>
      <c r="E28" s="8" t="n">
        <v>1657.427040629947</v>
      </c>
      <c r="F28" s="8" t="n">
        <v>22.66704036918444</v>
      </c>
      <c r="G28" s="8" t="n">
        <v>1217.923998502434</v>
      </c>
    </row>
    <row r="29">
      <c r="A29" s="8" t="inlineStr">
        <is>
          <t>2018-07-01</t>
        </is>
      </c>
      <c r="B29" s="8" t="n">
        <v>114</v>
      </c>
      <c r="C29" s="8" t="n">
        <v>273.75</v>
      </c>
      <c r="D29" s="8" t="n">
        <v>51843.14</v>
      </c>
      <c r="E29" s="8" t="n">
        <v>1893.813333333333</v>
      </c>
      <c r="F29" s="8" t="n">
        <v>26.96062573299769</v>
      </c>
      <c r="G29" s="8" t="n">
        <v>1419.725035543113</v>
      </c>
    </row>
    <row r="30">
      <c r="A30" s="8" t="inlineStr">
        <is>
          <t>2018-08-01</t>
        </is>
      </c>
      <c r="B30" s="8" t="n">
        <v>114</v>
      </c>
      <c r="C30" s="8" t="n">
        <v>312.02</v>
      </c>
      <c r="D30" s="8" t="n">
        <v>54212.26</v>
      </c>
      <c r="E30" s="8" t="n">
        <v>1737.461060188449</v>
      </c>
      <c r="F30" s="8" t="n">
        <v>4.569784932008369</v>
      </c>
      <c r="G30" s="8" t="n">
        <v>1204.239021127743</v>
      </c>
    </row>
    <row r="31">
      <c r="A31" s="8" t="inlineStr">
        <is>
          <t>2018-09-01</t>
        </is>
      </c>
      <c r="B31" s="8" t="n">
        <v>122</v>
      </c>
      <c r="C31" s="8" t="n">
        <v>405.87</v>
      </c>
      <c r="D31" s="8" t="n">
        <v>59835.36</v>
      </c>
      <c r="E31" s="8" t="n">
        <v>1474.249390198832</v>
      </c>
      <c r="F31" s="8" t="n">
        <v>10.3723770232047</v>
      </c>
      <c r="G31" s="8" t="n">
        <v>1023.497834132273</v>
      </c>
    </row>
    <row r="32">
      <c r="A32" s="8" t="inlineStr">
        <is>
          <t>2018-10-01</t>
        </is>
      </c>
      <c r="B32" s="8" t="n">
        <v>128</v>
      </c>
      <c r="C32" s="8" t="n">
        <v>482.36</v>
      </c>
      <c r="D32" s="8" t="n">
        <v>74978.27</v>
      </c>
      <c r="E32" s="8" t="n">
        <v>1554.40480139315</v>
      </c>
      <c r="F32" s="8" t="n">
        <v>25.30762746309205</v>
      </c>
      <c r="G32" s="8" t="n">
        <v>962.3492089580576</v>
      </c>
    </row>
    <row r="33">
      <c r="A33" s="8" t="inlineStr">
        <is>
          <t>2018-11-01</t>
        </is>
      </c>
      <c r="B33" s="8" t="n">
        <v>128</v>
      </c>
      <c r="C33" s="8" t="n">
        <v>524.9400000000001</v>
      </c>
      <c r="D33" s="8" t="n">
        <v>82232.21000000001</v>
      </c>
      <c r="E33" s="8" t="n">
        <v>1566.506838876824</v>
      </c>
      <c r="F33" s="8" t="n">
        <v>9.674723089769888</v>
      </c>
      <c r="G33" s="8" t="n">
        <v>750.4437225743667</v>
      </c>
    </row>
    <row r="34">
      <c r="A34" s="8" t="inlineStr">
        <is>
          <t>2018-12-01</t>
        </is>
      </c>
      <c r="B34" s="8" t="n">
        <v>129</v>
      </c>
      <c r="C34" s="8" t="n">
        <v>620.17</v>
      </c>
      <c r="D34" s="8" t="n">
        <v>102594.82</v>
      </c>
      <c r="E34" s="8" t="n">
        <v>1654.301562474806</v>
      </c>
      <c r="F34" s="8" t="n">
        <v>24.76232853282188</v>
      </c>
      <c r="G34" s="8" t="n">
        <v>678.7532335831138</v>
      </c>
    </row>
    <row r="35">
      <c r="A35" s="8" t="inlineStr">
        <is>
          <t>2019-01-01</t>
        </is>
      </c>
      <c r="B35" s="8" t="n">
        <v>134</v>
      </c>
      <c r="C35" s="8" t="n">
        <v>672.75</v>
      </c>
      <c r="D35" s="8" t="n">
        <v>109932.43</v>
      </c>
      <c r="E35" s="8" t="n">
        <v>1634.075510962467</v>
      </c>
      <c r="F35" s="8" t="n">
        <v>7.152027753447965</v>
      </c>
      <c r="G35" s="8" t="n">
        <v>605.9984458487463</v>
      </c>
    </row>
    <row r="36">
      <c r="A36" s="8" t="inlineStr">
        <is>
          <t>2019-02-01</t>
        </is>
      </c>
      <c r="B36" s="8" t="n">
        <v>139</v>
      </c>
      <c r="C36" s="8" t="n">
        <v>674.1900000000001</v>
      </c>
      <c r="D36" s="8" t="n">
        <v>106737.12</v>
      </c>
      <c r="E36" s="8" t="n">
        <v>1583.19049526098</v>
      </c>
      <c r="F36" s="8" t="n">
        <v>-2.906612725653379</v>
      </c>
      <c r="G36" s="8" t="n">
        <v>458.0675722307619</v>
      </c>
    </row>
    <row r="37">
      <c r="A37" s="8" t="inlineStr">
        <is>
          <t>2019-03-01</t>
        </is>
      </c>
      <c r="B37" s="8" t="n">
        <v>142</v>
      </c>
      <c r="C37" s="8" t="n">
        <v>799.54</v>
      </c>
      <c r="D37" s="8" t="n">
        <v>133460.72</v>
      </c>
      <c r="E37" s="8" t="n">
        <v>1669.218800810466</v>
      </c>
      <c r="F37" s="8" t="n">
        <v>25.03683816838977</v>
      </c>
      <c r="G37" s="8" t="n">
        <v>452.1157012485211</v>
      </c>
    </row>
    <row r="38">
      <c r="A38" s="8" t="inlineStr">
        <is>
          <t>2019-04-01</t>
        </is>
      </c>
      <c r="B38" s="8" t="n">
        <v>144</v>
      </c>
      <c r="C38" s="8" t="n">
        <v>781.79</v>
      </c>
      <c r="D38" s="8" t="n">
        <v>142034.39</v>
      </c>
      <c r="E38" s="8" t="n">
        <v>1816.784430601569</v>
      </c>
      <c r="F38" s="8" t="n">
        <v>6.424114900623956</v>
      </c>
      <c r="G38" s="8" t="n">
        <v>425.6279270294226</v>
      </c>
    </row>
    <row r="39">
      <c r="A39" s="8" t="inlineStr">
        <is>
          <t>2019-05-01</t>
        </is>
      </c>
      <c r="B39" s="8" t="n">
        <v>143</v>
      </c>
      <c r="C39" s="8" t="n">
        <v>733.54</v>
      </c>
      <c r="D39" s="8" t="n">
        <v>152449.29</v>
      </c>
      <c r="E39" s="8" t="n">
        <v>2078.268260762876</v>
      </c>
      <c r="F39" s="8" t="n">
        <v>7.33266077321133</v>
      </c>
      <c r="G39" s="8" t="n">
        <v>357.9636937790246</v>
      </c>
    </row>
    <row r="40">
      <c r="A40" s="8" t="inlineStr">
        <is>
          <t>2019-06-01</t>
        </is>
      </c>
      <c r="B40" s="8" t="n">
        <v>142</v>
      </c>
      <c r="C40" s="8" t="n">
        <v>754.54</v>
      </c>
      <c r="D40" s="8" t="n">
        <v>146566.35</v>
      </c>
      <c r="E40" s="8" t="n">
        <v>1942.459644286585</v>
      </c>
      <c r="F40" s="8" t="n">
        <v>-3.858948769128412</v>
      </c>
      <c r="G40" s="8" t="n">
        <v>258.9318761826839</v>
      </c>
    </row>
    <row r="41">
      <c r="A41" s="8" t="inlineStr">
        <is>
          <t>2019-07-01</t>
        </is>
      </c>
      <c r="B41" s="8" t="n">
        <v>143</v>
      </c>
      <c r="C41" s="8" t="n">
        <v>822.29</v>
      </c>
      <c r="D41" s="8" t="n">
        <v>146386.64</v>
      </c>
      <c r="E41" s="8" t="n">
        <v>1780.23130525727</v>
      </c>
      <c r="F41" s="8" t="n">
        <v>-0.1226134102404796</v>
      </c>
      <c r="G41" s="8" t="n">
        <v>182.3645327038448</v>
      </c>
    </row>
    <row r="42">
      <c r="A42" s="8" t="inlineStr">
        <is>
          <t>2019-08-01</t>
        </is>
      </c>
      <c r="B42" s="8" t="n">
        <v>141</v>
      </c>
      <c r="C42" s="8" t="n">
        <v>918.35</v>
      </c>
      <c r="D42" s="8" t="n">
        <v>154504.89</v>
      </c>
      <c r="E42" s="8" t="n">
        <v>1682.418359013448</v>
      </c>
      <c r="F42" s="8" t="n">
        <v>5.545758820613678</v>
      </c>
      <c r="G42" s="8" t="n">
        <v>184.9999059253387</v>
      </c>
    </row>
    <row r="43">
      <c r="A43" s="8" t="inlineStr">
        <is>
          <t>2019-09-01</t>
        </is>
      </c>
      <c r="B43" s="8" t="n">
        <v>141</v>
      </c>
      <c r="C43" s="8" t="n">
        <v>955.02</v>
      </c>
      <c r="D43" s="8" t="n">
        <v>161456.56</v>
      </c>
      <c r="E43" s="8" t="n">
        <v>1690.609201901531</v>
      </c>
      <c r="F43" s="8" t="n">
        <v>4.499320377497429</v>
      </c>
      <c r="G43" s="8" t="n">
        <v>169.8346930644355</v>
      </c>
    </row>
    <row r="44">
      <c r="A44" s="8" t="inlineStr">
        <is>
          <t>2019-10-01</t>
        </is>
      </c>
      <c r="B44" s="8" t="n">
        <v>141</v>
      </c>
      <c r="C44" s="8" t="n">
        <v>1148.36</v>
      </c>
      <c r="D44" s="8" t="n">
        <v>191359.94</v>
      </c>
      <c r="E44" s="8" t="n">
        <v>1666.375875161099</v>
      </c>
      <c r="F44" s="8" t="n">
        <v>18.52100651717094</v>
      </c>
      <c r="G44" s="8" t="n">
        <v>155.2205325623011</v>
      </c>
    </row>
    <row r="45">
      <c r="A45" s="8" t="inlineStr">
        <is>
          <t>2019-11-01</t>
        </is>
      </c>
      <c r="B45" s="8" t="n">
        <v>143</v>
      </c>
      <c r="C45" s="8" t="n">
        <v>1218.77</v>
      </c>
      <c r="D45" s="8" t="n">
        <v>189229.09</v>
      </c>
      <c r="E45" s="8" t="n">
        <v>1552.62346464058</v>
      </c>
      <c r="F45" s="8" t="n">
        <v>-1.113529822386028</v>
      </c>
      <c r="G45" s="8" t="n">
        <v>130.1155350196717</v>
      </c>
    </row>
    <row r="46">
      <c r="A46" s="8" t="inlineStr">
        <is>
          <t>2019-12-01</t>
        </is>
      </c>
      <c r="B46" s="8" t="n">
        <v>143</v>
      </c>
      <c r="C46" s="8" t="n">
        <v>1308.4</v>
      </c>
      <c r="D46" s="8" t="n">
        <v>202520.76</v>
      </c>
      <c r="E46" s="8" t="n">
        <v>1547.850504432895</v>
      </c>
      <c r="F46" s="8" t="n">
        <v>7.024115583919999</v>
      </c>
      <c r="G46" s="8" t="n">
        <v>97.39862109997364</v>
      </c>
    </row>
    <row r="47">
      <c r="A47" s="8" t="inlineStr">
        <is>
          <t>2020-01-01</t>
        </is>
      </c>
      <c r="B47" s="8" t="n">
        <v>144</v>
      </c>
      <c r="C47" s="8" t="n">
        <v>1305.02</v>
      </c>
      <c r="D47" s="8" t="n">
        <v>216242.97</v>
      </c>
      <c r="E47" s="8" t="n">
        <v>1657.008858101792</v>
      </c>
      <c r="F47" s="8" t="n">
        <v>6.775705364724094</v>
      </c>
      <c r="G47" s="8" t="n">
        <v>96.7053489129641</v>
      </c>
    </row>
    <row r="48">
      <c r="A48" s="8" t="inlineStr">
        <is>
          <t>2020-02-01</t>
        </is>
      </c>
      <c r="B48" s="8" t="n">
        <v>146</v>
      </c>
      <c r="C48" s="8" t="n">
        <v>1325.69</v>
      </c>
      <c r="D48" s="8" t="n">
        <v>222516.95</v>
      </c>
      <c r="E48" s="8" t="n">
        <v>1678.49912121235</v>
      </c>
      <c r="F48" s="8" t="n">
        <v>2.901356746996209</v>
      </c>
      <c r="G48" s="8" t="n">
        <v>108.47194490539</v>
      </c>
    </row>
    <row r="49">
      <c r="A49" s="8" t="inlineStr">
        <is>
          <t>2020-03-01</t>
        </is>
      </c>
      <c r="B49" s="8" t="n">
        <v>148</v>
      </c>
      <c r="C49" s="8" t="n">
        <v>1246.84</v>
      </c>
      <c r="D49" s="8" t="n">
        <v>206462.31</v>
      </c>
      <c r="E49" s="8" t="n">
        <v>1655.884556157967</v>
      </c>
      <c r="F49" s="8" t="n">
        <v>-7.215018900807335</v>
      </c>
      <c r="G49" s="8" t="n">
        <v>54.69893313927874</v>
      </c>
    </row>
    <row r="50">
      <c r="A50" s="8" t="inlineStr">
        <is>
          <t>2020-04-01</t>
        </is>
      </c>
      <c r="B50" s="8" t="n">
        <v>153</v>
      </c>
      <c r="C50" s="8" t="n">
        <v>999.5700000000001</v>
      </c>
      <c r="D50" s="8" t="n">
        <v>151140.66</v>
      </c>
      <c r="E50" s="8" t="n">
        <v>1512.0567844173</v>
      </c>
      <c r="F50" s="8" t="n">
        <v>-26.7950358590873</v>
      </c>
      <c r="G50" s="8" t="n">
        <v>6.411313485417147</v>
      </c>
    </row>
    <row r="51">
      <c r="A51" s="8" t="inlineStr">
        <is>
          <t>2020-05-01</t>
        </is>
      </c>
      <c r="B51" s="8" t="n">
        <v>155</v>
      </c>
      <c r="C51" s="8" t="n">
        <v>1234.5</v>
      </c>
      <c r="D51" s="8" t="n">
        <v>218391.6</v>
      </c>
      <c r="E51" s="8" t="n">
        <v>1769.069258809234</v>
      </c>
      <c r="F51" s="8" t="n">
        <v>44.49559767702483</v>
      </c>
      <c r="G51" s="8" t="n">
        <v>43.25524244816095</v>
      </c>
    </row>
    <row r="52">
      <c r="A52" s="8" t="inlineStr">
        <is>
          <t>2020-06-01</t>
        </is>
      </c>
      <c r="B52" s="8" t="n">
        <v>155</v>
      </c>
      <c r="C52" s="8" t="n">
        <v>1336.93</v>
      </c>
      <c r="D52" s="8" t="n">
        <v>261835</v>
      </c>
      <c r="E52" s="8" t="n">
        <v>1958.479501544584</v>
      </c>
      <c r="F52" s="8" t="n">
        <v>19.8924317601959</v>
      </c>
      <c r="G52" s="8" t="n">
        <v>78.64605347680418</v>
      </c>
    </row>
    <row r="53">
      <c r="A53" s="8" t="inlineStr">
        <is>
          <t>2020-07-01</t>
        </is>
      </c>
      <c r="B53" s="8" t="n">
        <v>164</v>
      </c>
      <c r="C53" s="8" t="n">
        <v>1497.36</v>
      </c>
      <c r="D53" s="8" t="n">
        <v>290537.86</v>
      </c>
      <c r="E53" s="8" t="n">
        <v>1940.334054602768</v>
      </c>
      <c r="F53" s="8" t="n">
        <v>10.96219374797105</v>
      </c>
      <c r="G53" s="8" t="n">
        <v>98.47293441532641</v>
      </c>
    </row>
    <row r="54">
      <c r="A54" s="8" t="inlineStr">
        <is>
          <t>2020-08-01</t>
        </is>
      </c>
      <c r="B54" s="8" t="n">
        <v>168</v>
      </c>
      <c r="C54" s="8" t="n">
        <v>1618.83</v>
      </c>
      <c r="D54" s="8" t="n">
        <v>298307.61</v>
      </c>
      <c r="E54" s="8" t="n">
        <v>1842.735864791238</v>
      </c>
      <c r="F54" s="8" t="n">
        <v>2.674264207769683</v>
      </c>
      <c r="G54" s="8" t="n">
        <v>93.07324836126544</v>
      </c>
    </row>
    <row r="55">
      <c r="A55" s="8" t="inlineStr">
        <is>
          <t>2020-09-01</t>
        </is>
      </c>
      <c r="B55" s="8" t="n">
        <v>174</v>
      </c>
      <c r="C55" s="8" t="n">
        <v>1800.14</v>
      </c>
      <c r="D55" s="8" t="n">
        <v>329027.66</v>
      </c>
      <c r="E55" s="8" t="n">
        <v>1827.789283055762</v>
      </c>
      <c r="F55" s="8" t="n">
        <v>10.2981114025217</v>
      </c>
      <c r="G55" s="8" t="n">
        <v>103.7871115301849</v>
      </c>
    </row>
    <row r="56">
      <c r="A56" s="8" t="inlineStr">
        <is>
          <t>2020-10-01</t>
        </is>
      </c>
      <c r="B56" s="8" t="n">
        <v>189</v>
      </c>
      <c r="C56" s="8" t="n">
        <v>2071.62</v>
      </c>
      <c r="D56" s="8" t="n">
        <v>386106.74</v>
      </c>
      <c r="E56" s="8" t="n">
        <v>1863.791332387214</v>
      </c>
      <c r="F56" s="8" t="n">
        <v>17.34780595649619</v>
      </c>
      <c r="G56" s="8" t="n">
        <v>101.7698897689872</v>
      </c>
    </row>
    <row r="57">
      <c r="A57" s="8" t="inlineStr">
        <is>
          <t>2020-11-01</t>
        </is>
      </c>
      <c r="B57" s="8" t="n">
        <v>200</v>
      </c>
      <c r="C57" s="8" t="n">
        <v>2210.23</v>
      </c>
      <c r="D57" s="8" t="n">
        <v>390999.15</v>
      </c>
      <c r="E57" s="8" t="n">
        <v>1769.042814548712</v>
      </c>
      <c r="F57" s="8" t="n">
        <v>1.267113337622661</v>
      </c>
      <c r="G57" s="8" t="n">
        <v>106.6274006813646</v>
      </c>
    </row>
    <row r="58">
      <c r="A58" s="8" t="inlineStr">
        <is>
          <t>2020-12-01</t>
        </is>
      </c>
      <c r="B58" s="8" t="n">
        <v>207</v>
      </c>
      <c r="C58" s="8" t="n">
        <v>2234.16</v>
      </c>
      <c r="D58" s="8" t="n">
        <v>416176.21</v>
      </c>
      <c r="E58" s="8" t="n">
        <v>1862.78605829484</v>
      </c>
      <c r="F58" s="8" t="n">
        <v>6.439159778224579</v>
      </c>
      <c r="G58" s="8" t="n">
        <v>105.4980486938722</v>
      </c>
    </row>
    <row r="59">
      <c r="A59" s="8" t="inlineStr">
        <is>
          <t>2021-01-01</t>
        </is>
      </c>
      <c r="B59" s="8" t="n">
        <v>207</v>
      </c>
      <c r="C59" s="8" t="n">
        <v>2302.73</v>
      </c>
      <c r="D59" s="8" t="n">
        <v>431181.89</v>
      </c>
      <c r="E59" s="8" t="n">
        <v>1872.481315655765</v>
      </c>
      <c r="F59" s="8" t="n">
        <v>3.605607345984518</v>
      </c>
      <c r="G59" s="8" t="n">
        <v>99.3969514939607</v>
      </c>
    </row>
    <row r="60">
      <c r="A60" s="8" t="inlineStr">
        <is>
          <t>2021-02-01</t>
        </is>
      </c>
      <c r="B60" s="8" t="n">
        <v>213</v>
      </c>
      <c r="C60" s="8" t="n">
        <v>2292.9</v>
      </c>
      <c r="D60" s="8" t="n">
        <v>425062.76</v>
      </c>
      <c r="E60" s="8" t="n">
        <v>1853.821623271839</v>
      </c>
      <c r="F60" s="8" t="n">
        <v>-1.419152831302817</v>
      </c>
      <c r="G60" s="8" t="n">
        <v>91.02489046340064</v>
      </c>
    </row>
    <row r="61">
      <c r="A61" s="8" t="inlineStr">
        <is>
          <t>2021-03-01</t>
        </is>
      </c>
      <c r="B61" s="8" t="n">
        <v>216</v>
      </c>
      <c r="C61" s="8" t="n">
        <v>2731.68</v>
      </c>
      <c r="D61" s="8" t="n">
        <v>504886.44</v>
      </c>
      <c r="E61" s="8" t="n">
        <v>1848.263486206291</v>
      </c>
      <c r="F61" s="8" t="n">
        <v>18.77926920721072</v>
      </c>
      <c r="G61" s="8" t="n">
        <v>144.5416986761409</v>
      </c>
    </row>
    <row r="62">
      <c r="A62" s="8" t="inlineStr">
        <is>
          <t>2021-04-01</t>
        </is>
      </c>
      <c r="B62" s="8" t="n">
        <v>220</v>
      </c>
      <c r="C62" s="8" t="n">
        <v>2641.06</v>
      </c>
      <c r="D62" s="8" t="n">
        <v>493663.68</v>
      </c>
      <c r="E62" s="8" t="n">
        <v>1869.187674645787</v>
      </c>
      <c r="F62" s="8" t="n">
        <v>-2.222828563191359</v>
      </c>
      <c r="G62" s="8" t="n">
        <v>226.6253303379778</v>
      </c>
    </row>
    <row r="63">
      <c r="A63" s="8" t="inlineStr">
        <is>
          <t>2021-05-01</t>
        </is>
      </c>
      <c r="B63" s="8" t="n">
        <v>224</v>
      </c>
      <c r="C63" s="8" t="n">
        <v>2539.57</v>
      </c>
      <c r="D63" s="8" t="n">
        <v>490638.65</v>
      </c>
      <c r="E63" s="8" t="n">
        <v>1931.975295030261</v>
      </c>
      <c r="F63" s="8" t="n">
        <v>-0.6127714317569311</v>
      </c>
      <c r="G63" s="8" t="n">
        <v>124.6600372908115</v>
      </c>
    </row>
    <row r="64">
      <c r="A64" s="8" t="inlineStr">
        <is>
          <t>2021-06-01</t>
        </is>
      </c>
      <c r="B64" s="8" t="n">
        <v>229</v>
      </c>
      <c r="C64" s="8" t="n">
        <v>2807.51</v>
      </c>
      <c r="D64" s="8" t="n">
        <v>547373.17</v>
      </c>
      <c r="E64" s="8" t="n">
        <v>1949.674872039637</v>
      </c>
      <c r="F64" s="8" t="n">
        <v>11.5634021086598</v>
      </c>
      <c r="G64" s="8" t="n">
        <v>109.0527125861707</v>
      </c>
    </row>
    <row r="65">
      <c r="A65" s="8" t="inlineStr">
        <is>
          <t>2021-07-01</t>
        </is>
      </c>
      <c r="B65" s="8" t="n">
        <v>235</v>
      </c>
      <c r="C65" s="8" t="n">
        <v>3247.82</v>
      </c>
      <c r="D65" s="8" t="n">
        <v>606281.14</v>
      </c>
      <c r="E65" s="8" t="n">
        <v>1866.732577544322</v>
      </c>
      <c r="F65" s="8" t="n">
        <v>10.76193961059508</v>
      </c>
      <c r="G65" s="8" t="n">
        <v>108.6754339004218</v>
      </c>
    </row>
    <row r="66">
      <c r="A66" s="8" t="inlineStr">
        <is>
          <t>2021-08-01</t>
        </is>
      </c>
      <c r="B66" s="8" t="n">
        <v>249</v>
      </c>
      <c r="C66" s="8" t="n">
        <v>3555.55</v>
      </c>
      <c r="D66" s="8" t="n">
        <v>639116.95</v>
      </c>
      <c r="E66" s="8" t="n">
        <v>1797.519230498798</v>
      </c>
      <c r="F66" s="8" t="n">
        <v>5.415937893103506</v>
      </c>
      <c r="G66" s="8" t="n">
        <v>114.2476184231438</v>
      </c>
    </row>
    <row r="67">
      <c r="A67" s="8" t="inlineStr">
        <is>
          <t>2021-09-01</t>
        </is>
      </c>
      <c r="B67" s="8" t="n">
        <v>259</v>
      </c>
      <c r="C67" s="8" t="n">
        <v>3654.3</v>
      </c>
      <c r="D67" s="8" t="n">
        <v>654351.8100000001</v>
      </c>
      <c r="E67" s="8" t="n">
        <v>1790.635169526312</v>
      </c>
      <c r="F67" s="8" t="n">
        <v>2.383735871815018</v>
      </c>
      <c r="G67" s="8" t="n">
        <v>98.874407701772</v>
      </c>
    </row>
    <row r="68">
      <c r="A68" s="8" t="inlineStr">
        <is>
          <t>2021-10-01</t>
        </is>
      </c>
      <c r="B68" s="8" t="n">
        <v>261</v>
      </c>
      <c r="C68" s="8" t="n">
        <v>4218.65</v>
      </c>
      <c r="D68" s="8" t="n">
        <v>771444.98</v>
      </c>
      <c r="E68" s="8" t="n">
        <v>1828.653668827706</v>
      </c>
      <c r="F68" s="8" t="n">
        <v>17.89452832720062</v>
      </c>
      <c r="G68" s="8" t="n">
        <v>99.80096177549244</v>
      </c>
    </row>
    <row r="69">
      <c r="A69" s="8" t="inlineStr">
        <is>
          <t>2021-11-01</t>
        </is>
      </c>
      <c r="B69" s="8" t="n">
        <v>274</v>
      </c>
      <c r="C69" s="8" t="n">
        <v>4186.48</v>
      </c>
      <c r="D69" s="8" t="n">
        <v>768436.11</v>
      </c>
      <c r="E69" s="8" t="n">
        <v>1835.518406871644</v>
      </c>
      <c r="F69" s="8" t="n">
        <v>-0.3900304076124739</v>
      </c>
      <c r="G69" s="8" t="n">
        <v>96.53140166672996</v>
      </c>
    </row>
    <row r="70">
      <c r="A70" s="8" t="inlineStr">
        <is>
          <t>2021-12-01</t>
        </is>
      </c>
      <c r="B70" s="8" t="n">
        <v>282</v>
      </c>
      <c r="C70" s="8" t="n">
        <v>4566.3</v>
      </c>
      <c r="D70" s="8" t="n">
        <v>826848.22</v>
      </c>
      <c r="E70" s="8" t="n">
        <v>1810.761929789983</v>
      </c>
      <c r="F70" s="8" t="n">
        <v>7.601427007379957</v>
      </c>
      <c r="G70" s="8" t="n">
        <v>98.67743521428096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1" customWidth="1" min="4" max="4"/>
    <col width="14" customWidth="1" min="5" max="5"/>
  </cols>
  <sheetData>
    <row r="1">
      <c r="A1" s="7" t="inlineStr">
        <is>
          <t>year</t>
        </is>
      </c>
      <c r="B1" s="7" t="inlineStr">
        <is>
          <t>total_volume_mn</t>
        </is>
      </c>
      <c r="C1" s="7" t="inlineStr">
        <is>
          <t>total_value_cr</t>
        </is>
      </c>
      <c r="D1" s="7" t="inlineStr">
        <is>
          <t>banks_live_year_end</t>
        </is>
      </c>
      <c r="E1" s="7" t="inlineStr">
        <is>
          <t>is_forecast</t>
        </is>
      </c>
    </row>
    <row r="2">
      <c r="A2" s="8" t="n">
        <v>2016</v>
      </c>
      <c r="B2" s="8" t="n">
        <v>2.65</v>
      </c>
      <c r="C2" s="8" t="n">
        <v>893.0699999999999</v>
      </c>
      <c r="D2" s="8" t="n">
        <v>35</v>
      </c>
      <c r="E2" s="8" t="b">
        <v>0</v>
      </c>
    </row>
    <row r="3">
      <c r="A3" s="8" t="n">
        <v>2017</v>
      </c>
      <c r="B3" s="8" t="n">
        <v>429.15</v>
      </c>
      <c r="C3" s="8" t="n">
        <v>57020.87</v>
      </c>
      <c r="D3" s="8" t="n">
        <v>67</v>
      </c>
      <c r="E3" s="8" t="b">
        <v>0</v>
      </c>
    </row>
    <row r="4">
      <c r="A4" s="8" t="n">
        <v>2018</v>
      </c>
      <c r="B4" s="8" t="n">
        <v>3746.32</v>
      </c>
      <c r="C4" s="8" t="n">
        <v>585710.4500000001</v>
      </c>
      <c r="D4" s="8" t="n">
        <v>129</v>
      </c>
      <c r="E4" s="8" t="b">
        <v>0</v>
      </c>
    </row>
    <row r="5">
      <c r="A5" s="8" t="n">
        <v>2019</v>
      </c>
      <c r="B5" s="8" t="n">
        <v>10787.54</v>
      </c>
      <c r="C5" s="8" t="n">
        <v>1836638.18</v>
      </c>
      <c r="D5" s="8" t="n">
        <v>144</v>
      </c>
      <c r="E5" s="8" t="b">
        <v>0</v>
      </c>
    </row>
    <row r="6">
      <c r="A6" s="8" t="n">
        <v>2020</v>
      </c>
      <c r="B6" s="8" t="n">
        <v>18880.89</v>
      </c>
      <c r="C6" s="8" t="n">
        <v>3387744.72</v>
      </c>
      <c r="D6" s="8" t="n">
        <v>207</v>
      </c>
      <c r="E6" s="8" t="b">
        <v>0</v>
      </c>
    </row>
    <row r="7">
      <c r="A7" s="8" t="n">
        <v>2021</v>
      </c>
      <c r="B7" s="8" t="n">
        <v>38744.55</v>
      </c>
      <c r="C7" s="8" t="n">
        <v>7159285.8</v>
      </c>
      <c r="D7" s="8" t="n">
        <v>282</v>
      </c>
      <c r="E7" s="8" t="b">
        <v>0</v>
      </c>
    </row>
    <row r="8">
      <c r="A8" s="9" t="n">
        <v>2022</v>
      </c>
      <c r="B8" s="9" t="n">
        <v>42047.30100000277</v>
      </c>
      <c r="C8" s="9" t="n">
        <v>7707249.243001461</v>
      </c>
      <c r="D8" s="9" t="n">
        <v/>
      </c>
      <c r="E8" s="9" t="b">
        <v>1</v>
      </c>
    </row>
    <row r="9">
      <c r="A9" s="9" t="n">
        <v>2023</v>
      </c>
      <c r="B9" s="9" t="n">
        <v>51223.83800000697</v>
      </c>
      <c r="C9" s="9" t="n">
        <v>9407905.656001568</v>
      </c>
      <c r="D9" s="9" t="n">
        <v/>
      </c>
      <c r="E9" s="9" t="b">
        <v>1</v>
      </c>
    </row>
    <row r="11" ht="60" customHeight="1">
      <c r="A11" s="10" t="inlineStr">
        <is>
          <t>Forecast note: 2022-2023 figures (highlighted) are a simple linear trend line fit on FULL years 2017-2021 only (2016 excluded: partial 9-month year). This is a naive baseline -- it assumes a constant yearly increase, so it likely UNDERSTATES 2022-23 value given that annual value more than doubled in 2021 alone (accelerating growth).</t>
        </is>
      </c>
    </row>
  </sheetData>
  <mergeCells count="1"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2026-07-05T09:47:11Z</dcterms:created>
  <dcterms:modified xsi:type="dcterms:W3CDTF">2026-07-05T09:47:11Z</dcterms:modified>
</cp:coreProperties>
</file>